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yday\Desktop\学习工作相关\软件工程实践\第三次团队作业\"/>
    </mc:Choice>
  </mc:AlternateContent>
  <xr:revisionPtr revIDLastSave="0" documentId="13_ncr:1_{EF4CF741-07AC-4850-85ED-C4EC86E701F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评审表_现场" sheetId="2" r:id="rId1"/>
    <sheet name="汇总与排名" sheetId="4" r:id="rId2"/>
  </sheets>
  <definedNames>
    <definedName name="_xlnm.Print_Titles" localSheetId="1">汇总与排名!$1:$2</definedName>
    <definedName name="_xlnm.Print_Titles" localSheetId="0">评审表_现场!$1:$3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J2" i="2"/>
  <c r="B14" i="4"/>
  <c r="B13" i="4"/>
  <c r="B12" i="4"/>
  <c r="B11" i="4"/>
  <c r="B10" i="4"/>
  <c r="B9" i="4"/>
  <c r="B8" i="4"/>
  <c r="B7" i="4"/>
  <c r="B6" i="4"/>
  <c r="B5" i="4"/>
  <c r="B4" i="4"/>
  <c r="B3" i="4"/>
  <c r="I16" i="2"/>
  <c r="H16" i="2"/>
  <c r="G16" i="2"/>
  <c r="F16" i="2"/>
  <c r="E16" i="2"/>
  <c r="D16" i="2"/>
  <c r="C16" i="2"/>
  <c r="J15" i="2"/>
  <c r="C14" i="4" s="1"/>
  <c r="D14" i="4" s="1"/>
  <c r="J14" i="2"/>
  <c r="C13" i="4" s="1"/>
  <c r="D13" i="4" s="1"/>
  <c r="J13" i="2"/>
  <c r="C12" i="4" s="1"/>
  <c r="D12" i="4" s="1"/>
  <c r="J12" i="2"/>
  <c r="C11" i="4" s="1"/>
  <c r="D11" i="4" s="1"/>
  <c r="J11" i="2"/>
  <c r="C10" i="4" s="1"/>
  <c r="D10" i="4" s="1"/>
  <c r="J10" i="2"/>
  <c r="C9" i="4" s="1"/>
  <c r="D9" i="4" s="1"/>
  <c r="J9" i="2"/>
  <c r="C8" i="4" s="1"/>
  <c r="D8" i="4" s="1"/>
  <c r="J8" i="2"/>
  <c r="C7" i="4" s="1"/>
  <c r="D7" i="4" s="1"/>
  <c r="J7" i="2"/>
  <c r="C6" i="4" s="1"/>
  <c r="D6" i="4" s="1"/>
  <c r="J6" i="2"/>
  <c r="C5" i="4" s="1"/>
  <c r="D5" i="4" s="1"/>
  <c r="J5" i="2"/>
  <c r="C4" i="4" s="1"/>
  <c r="D4" i="4" s="1"/>
  <c r="J4" i="2"/>
  <c r="J16" i="2" l="1"/>
  <c r="C3" i="4"/>
  <c r="D3" i="4" l="1"/>
</calcChain>
</file>

<file path=xl/sharedStrings.xml><?xml version="1.0" encoding="utf-8"?>
<sst xmlns="http://schemas.openxmlformats.org/spreadsheetml/2006/main" count="22" uniqueCount="19">
  <si>
    <t>序号</t>
  </si>
  <si>
    <t>团队名称</t>
  </si>
  <si>
    <t>PPT质量</t>
  </si>
  <si>
    <t>功能模块层次设计</t>
  </si>
  <si>
    <t>接口设计</t>
  </si>
  <si>
    <t>系统安全性和健壮性</t>
  </si>
  <si>
    <t>ER图和表结构设计</t>
  </si>
  <si>
    <t>演讲</t>
  </si>
  <si>
    <t>存在问题和建议</t>
  </si>
  <si>
    <t>加权总分</t>
  </si>
  <si>
    <t>改进建议</t>
  </si>
  <si>
    <t>填表人</t>
  </si>
  <si>
    <t>日期</t>
  </si>
  <si>
    <t>本组填写合计/平均</t>
  </si>
  <si>
    <t>名次</t>
  </si>
  <si>
    <t>分值</t>
    <phoneticPr fontId="5" type="noConversion"/>
  </si>
  <si>
    <t>404烦恼未找到——系统设计与数据库设计评审表</t>
    <phoneticPr fontId="5" type="noConversion"/>
  </si>
  <si>
    <t>存在问题</t>
    <phoneticPr fontId="5" type="noConversion"/>
  </si>
  <si>
    <t>评审汇总与排名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</si>
</sst>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rgb="FF595959"/>
      <name val="宋体"/>
      <family val="3"/>
      <charset val="134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pane xSplit="2" ySplit="3" topLeftCell="C8" activePane="bottomRight" state="frozen"/>
      <selection pane="topRight"/>
      <selection pane="bottomLeft"/>
      <selection pane="bottomRight" activeCell="L3" sqref="L3"/>
    </sheetView>
  </sheetViews>
  <sheetFormatPr defaultRowHeight="14" x14ac:dyDescent="0.25"/>
  <cols>
    <col min="1" max="1" width="6" customWidth="1"/>
    <col min="2" max="2" width="20" customWidth="1"/>
    <col min="3" max="3" width="9" customWidth="1"/>
    <col min="4" max="4" width="11" customWidth="1"/>
    <col min="5" max="5" width="10" customWidth="1"/>
    <col min="6" max="6" width="12" customWidth="1"/>
    <col min="7" max="7" width="11" customWidth="1"/>
    <col min="8" max="8" width="8" customWidth="1"/>
    <col min="9" max="9" width="11" customWidth="1"/>
    <col min="10" max="10" width="9" customWidth="1"/>
    <col min="11" max="12" width="34" customWidth="1"/>
    <col min="13" max="13" width="9" customWidth="1"/>
    <col min="14" max="14" width="11" customWidth="1"/>
  </cols>
  <sheetData>
    <row r="1" spans="1:14" ht="34" customHeight="1" x14ac:dyDescent="0.25">
      <c r="A1" s="8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0" customHeight="1" x14ac:dyDescent="0.25">
      <c r="A2" s="17" t="s">
        <v>15</v>
      </c>
      <c r="B2" s="16"/>
      <c r="C2" s="2">
        <v>10</v>
      </c>
      <c r="D2" s="2">
        <v>15</v>
      </c>
      <c r="E2" s="2">
        <v>15</v>
      </c>
      <c r="F2" s="2">
        <v>20</v>
      </c>
      <c r="G2" s="2">
        <v>20</v>
      </c>
      <c r="H2" s="2">
        <v>10</v>
      </c>
      <c r="I2" s="2">
        <v>10</v>
      </c>
      <c r="J2" s="2">
        <f>ROUND(SUM(C2:I2),2)</f>
        <v>100</v>
      </c>
      <c r="K2" s="13"/>
      <c r="L2" s="14"/>
      <c r="M2" s="14"/>
      <c r="N2" s="15"/>
    </row>
    <row r="3" spans="1:14" ht="48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17</v>
      </c>
      <c r="L3" s="3" t="s">
        <v>10</v>
      </c>
      <c r="M3" s="3" t="s">
        <v>11</v>
      </c>
      <c r="N3" s="3" t="s">
        <v>12</v>
      </c>
    </row>
    <row r="4" spans="1:14" ht="40" customHeight="1" x14ac:dyDescent="0.25">
      <c r="A4" s="4">
        <v>1</v>
      </c>
      <c r="B4" s="4"/>
      <c r="C4" s="4"/>
      <c r="D4" s="4"/>
      <c r="E4" s="4"/>
      <c r="F4" s="4"/>
      <c r="G4" s="4"/>
      <c r="H4" s="4"/>
      <c r="I4" s="4"/>
      <c r="J4" s="5" t="str">
        <f>IF(COUNT(C4:I4)=7,ROUND(SUMPRODUCT($C$2:$I$2,C4:I4)*20,1),"")</f>
        <v/>
      </c>
      <c r="K4" s="6"/>
      <c r="L4" s="6"/>
      <c r="M4" s="4"/>
      <c r="N4" s="4"/>
    </row>
    <row r="5" spans="1:14" ht="40" customHeight="1" x14ac:dyDescent="0.25">
      <c r="A5" s="4">
        <v>2</v>
      </c>
      <c r="B5" s="4"/>
      <c r="C5" s="4"/>
      <c r="D5" s="4"/>
      <c r="E5" s="4"/>
      <c r="F5" s="4"/>
      <c r="G5" s="4"/>
      <c r="H5" s="4"/>
      <c r="I5" s="4"/>
      <c r="J5" s="5" t="str">
        <f>IF(COUNT(C5:I5)=7,ROUND(SUMPRODUCT($C$2:$I$2,C5:I5)*20,1),"")</f>
        <v/>
      </c>
      <c r="K5" s="6"/>
      <c r="L5" s="6"/>
      <c r="M5" s="4"/>
      <c r="N5" s="4"/>
    </row>
    <row r="6" spans="1:14" ht="40" customHeight="1" x14ac:dyDescent="0.25">
      <c r="A6" s="4">
        <v>3</v>
      </c>
      <c r="B6" s="4"/>
      <c r="C6" s="4"/>
      <c r="D6" s="4"/>
      <c r="E6" s="4"/>
      <c r="F6" s="4"/>
      <c r="G6" s="4"/>
      <c r="H6" s="4"/>
      <c r="I6" s="4"/>
      <c r="J6" s="5" t="str">
        <f>IF(COUNT(C6:I6)=7,ROUND(SUMPRODUCT($C$2:$I$2,C6:I6)*20,1),"")</f>
        <v/>
      </c>
      <c r="K6" s="6"/>
      <c r="L6" s="6"/>
      <c r="M6" s="4"/>
      <c r="N6" s="4"/>
    </row>
    <row r="7" spans="1:14" ht="40" customHeight="1" x14ac:dyDescent="0.25">
      <c r="A7" s="4">
        <v>4</v>
      </c>
      <c r="B7" s="4"/>
      <c r="C7" s="4"/>
      <c r="D7" s="4"/>
      <c r="E7" s="4"/>
      <c r="F7" s="4"/>
      <c r="G7" s="4"/>
      <c r="H7" s="4"/>
      <c r="I7" s="4"/>
      <c r="J7" s="5" t="str">
        <f>IF(COUNT(C7:I7)=7,ROUND(SUMPRODUCT($C$2:$I$2,C7:I7)*20,1),"")</f>
        <v/>
      </c>
      <c r="K7" s="6"/>
      <c r="L7" s="6"/>
      <c r="M7" s="4"/>
      <c r="N7" s="4"/>
    </row>
    <row r="8" spans="1:14" ht="40" customHeight="1" x14ac:dyDescent="0.25">
      <c r="A8" s="4">
        <v>5</v>
      </c>
      <c r="B8" s="4"/>
      <c r="C8" s="4"/>
      <c r="D8" s="4"/>
      <c r="E8" s="4"/>
      <c r="F8" s="4"/>
      <c r="G8" s="4"/>
      <c r="H8" s="4"/>
      <c r="I8" s="4"/>
      <c r="J8" s="5" t="str">
        <f>IF(COUNT(C8:I8)=7,ROUND(SUMPRODUCT($C$2:$I$2,C8:I8)*20,1),"")</f>
        <v/>
      </c>
      <c r="K8" s="6"/>
      <c r="L8" s="6"/>
      <c r="M8" s="4"/>
      <c r="N8" s="4"/>
    </row>
    <row r="9" spans="1:14" ht="40" customHeight="1" x14ac:dyDescent="0.25">
      <c r="A9" s="4">
        <v>6</v>
      </c>
      <c r="B9" s="4"/>
      <c r="C9" s="4"/>
      <c r="D9" s="4"/>
      <c r="E9" s="4"/>
      <c r="F9" s="4"/>
      <c r="G9" s="4"/>
      <c r="H9" s="4"/>
      <c r="I9" s="4"/>
      <c r="J9" s="5" t="str">
        <f>IF(COUNT(C9:I9)=7,ROUND(SUMPRODUCT($C$2:$I$2,C9:I9)*20,1),"")</f>
        <v/>
      </c>
      <c r="K9" s="6"/>
      <c r="L9" s="6"/>
      <c r="M9" s="4"/>
      <c r="N9" s="4"/>
    </row>
    <row r="10" spans="1:14" ht="40" customHeight="1" x14ac:dyDescent="0.25">
      <c r="A10" s="4">
        <v>7</v>
      </c>
      <c r="B10" s="4"/>
      <c r="C10" s="4"/>
      <c r="D10" s="4"/>
      <c r="E10" s="4"/>
      <c r="F10" s="4"/>
      <c r="G10" s="4"/>
      <c r="H10" s="4"/>
      <c r="I10" s="4"/>
      <c r="J10" s="5" t="str">
        <f>IF(COUNT(C10:I10)=7,ROUND(SUMPRODUCT($C$2:$I$2,C10:I10)*20,1),"")</f>
        <v/>
      </c>
      <c r="K10" s="6"/>
      <c r="L10" s="6"/>
      <c r="M10" s="4"/>
      <c r="N10" s="4"/>
    </row>
    <row r="11" spans="1:14" ht="40" customHeight="1" x14ac:dyDescent="0.25">
      <c r="A11" s="4">
        <v>8</v>
      </c>
      <c r="B11" s="4"/>
      <c r="C11" s="4"/>
      <c r="D11" s="4"/>
      <c r="E11" s="4"/>
      <c r="F11" s="4"/>
      <c r="G11" s="4"/>
      <c r="H11" s="4"/>
      <c r="I11" s="4"/>
      <c r="J11" s="5" t="str">
        <f>IF(COUNT(C11:I11)=7,ROUND(SUMPRODUCT($C$2:$I$2,C11:I11)*20,1),"")</f>
        <v/>
      </c>
      <c r="K11" s="6"/>
      <c r="L11" s="6"/>
      <c r="M11" s="4"/>
      <c r="N11" s="4"/>
    </row>
    <row r="12" spans="1:14" ht="40" customHeight="1" x14ac:dyDescent="0.25">
      <c r="A12" s="4">
        <v>9</v>
      </c>
      <c r="B12" s="4"/>
      <c r="C12" s="4"/>
      <c r="D12" s="4"/>
      <c r="E12" s="4"/>
      <c r="F12" s="4"/>
      <c r="G12" s="4"/>
      <c r="H12" s="4"/>
      <c r="I12" s="4"/>
      <c r="J12" s="5" t="str">
        <f>IF(COUNT(C12:I12)=7,ROUND(SUMPRODUCT($C$2:$I$2,C12:I12)*20,1),"")</f>
        <v/>
      </c>
      <c r="K12" s="6"/>
      <c r="L12" s="6"/>
      <c r="M12" s="4"/>
      <c r="N12" s="4"/>
    </row>
    <row r="13" spans="1:14" ht="40" customHeight="1" x14ac:dyDescent="0.25">
      <c r="A13" s="4">
        <v>10</v>
      </c>
      <c r="B13" s="4"/>
      <c r="C13" s="4"/>
      <c r="D13" s="4"/>
      <c r="E13" s="4"/>
      <c r="F13" s="4"/>
      <c r="G13" s="4"/>
      <c r="H13" s="4"/>
      <c r="I13" s="4"/>
      <c r="J13" s="5" t="str">
        <f>IF(COUNT(C13:I13)=7,ROUND(SUMPRODUCT($C$2:$I$2,C13:I13)*20,1),"")</f>
        <v/>
      </c>
      <c r="K13" s="6"/>
      <c r="L13" s="6"/>
      <c r="M13" s="4"/>
      <c r="N13" s="4"/>
    </row>
    <row r="14" spans="1:14" ht="40" customHeight="1" x14ac:dyDescent="0.25">
      <c r="A14" s="4">
        <v>11</v>
      </c>
      <c r="B14" s="4"/>
      <c r="C14" s="4"/>
      <c r="D14" s="4"/>
      <c r="E14" s="4"/>
      <c r="F14" s="4"/>
      <c r="G14" s="4"/>
      <c r="H14" s="4"/>
      <c r="I14" s="4"/>
      <c r="J14" s="5" t="str">
        <f>IF(COUNT(C14:I14)=7,ROUND(SUMPRODUCT($C$2:$I$2,C14:I14)*20,1),"")</f>
        <v/>
      </c>
      <c r="K14" s="6"/>
      <c r="L14" s="6"/>
      <c r="M14" s="4"/>
      <c r="N14" s="4"/>
    </row>
    <row r="15" spans="1:14" ht="40" customHeight="1" x14ac:dyDescent="0.25">
      <c r="A15" s="4">
        <v>12</v>
      </c>
      <c r="B15" s="4"/>
      <c r="C15" s="4"/>
      <c r="D15" s="4"/>
      <c r="E15" s="4"/>
      <c r="F15" s="4"/>
      <c r="G15" s="4"/>
      <c r="H15" s="4"/>
      <c r="I15" s="4"/>
      <c r="J15" s="5" t="str">
        <f>IF(COUNT(C15:I15)=7,ROUND(SUMPRODUCT($C$2:$I$2,C15:I15)*20,1),"")</f>
        <v/>
      </c>
      <c r="K15" s="6"/>
      <c r="L15" s="6"/>
      <c r="M15" s="4"/>
      <c r="N15" s="4"/>
    </row>
    <row r="16" spans="1:14" ht="26" customHeight="1" x14ac:dyDescent="0.25">
      <c r="A16" s="10" t="s">
        <v>13</v>
      </c>
      <c r="B16" s="11"/>
      <c r="C16" s="7">
        <f t="shared" ref="C16:I16" si="0">COUNT(C$4:C$15)</f>
        <v>0</v>
      </c>
      <c r="D16" s="7">
        <f t="shared" si="0"/>
        <v>0</v>
      </c>
      <c r="E16" s="7">
        <f t="shared" si="0"/>
        <v>0</v>
      </c>
      <c r="F16" s="7">
        <f t="shared" si="0"/>
        <v>0</v>
      </c>
      <c r="G16" s="7">
        <f t="shared" si="0"/>
        <v>0</v>
      </c>
      <c r="H16" s="7">
        <f t="shared" si="0"/>
        <v>0</v>
      </c>
      <c r="I16" s="7">
        <f t="shared" si="0"/>
        <v>0</v>
      </c>
      <c r="J16" s="1" t="str">
        <f>IF(COUNT(J4:J15)=0,"",ROUND(AVERAGE(J4:J15),1))</f>
        <v/>
      </c>
      <c r="K16" s="12" t="str">
        <f>"已填分数 "&amp;COUNT(C4:I15)&amp;" 个 / 已评组数 "&amp;COUNT(J4:J15)&amp;" 组 / 总分平均 "&amp;IF(COUNT(J4:J15)=0,"未评",TEXT(AVERAGE(J4:J15),"0.0")&amp;" 分")</f>
        <v>已填分数 0 个 / 已评组数 0 组 / 总分平均 未评</v>
      </c>
      <c r="L16" s="11"/>
      <c r="M16" s="11"/>
      <c r="N16" s="11"/>
    </row>
  </sheetData>
  <mergeCells count="5">
    <mergeCell ref="A1:N1"/>
    <mergeCell ref="K2:N2"/>
    <mergeCell ref="A2:B2"/>
    <mergeCell ref="A16:B16"/>
    <mergeCell ref="K16:N16"/>
  </mergeCells>
  <phoneticPr fontId="5" type="noConversion"/>
  <dataValidations count="1">
    <dataValidation type="whole" allowBlank="1" showInputMessage="1" showErrorMessage="1" errorTitle="分数超出范围" error="只能输入 1～5 的整数，不能输入小数、0、负数或其他字符。" promptTitle="评分 1～5 分（5 最好）" prompt="请输入 1～5 的整数：5 最好、1 最差。同一项对全部小组用同一锚点；无把握可留空，留空不参与总分。" sqref="C4:I15" xr:uid="{00000000-0002-0000-0100-000000000000}">
      <formula1>1</formula1>
      <formula2>5</formula2>
    </dataValidation>
  </dataValidations>
  <pageMargins left="0.4" right="0.4" top="0.5" bottom="0.5" header="0.25" footer="0.25"/>
  <pageSetup paperSize="9" fitToHeight="0" orientation="landscape"/>
  <headerFooter>
    <oddFooter>&amp;C&amp;9 &amp;K808080第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4"/>
  <sheetViews>
    <sheetView tabSelected="1" workbookViewId="0">
      <pane ySplit="2" topLeftCell="A3" activePane="bottomLeft" state="frozen"/>
      <selection pane="bottomLeft" activeCell="G6" sqref="G6"/>
    </sheetView>
  </sheetViews>
  <sheetFormatPr defaultRowHeight="14" x14ac:dyDescent="0.25"/>
  <cols>
    <col min="1" max="1" width="6" customWidth="1"/>
    <col min="2" max="2" width="29" customWidth="1"/>
    <col min="3" max="3" width="20.54296875" customWidth="1"/>
    <col min="4" max="4" width="28.1796875" customWidth="1"/>
  </cols>
  <sheetData>
    <row r="1" spans="1:4" ht="34" customHeight="1" x14ac:dyDescent="0.25">
      <c r="A1" s="8" t="s">
        <v>18</v>
      </c>
      <c r="B1" s="9"/>
      <c r="C1" s="9"/>
      <c r="D1" s="9"/>
    </row>
    <row r="2" spans="1:4" ht="32" customHeight="1" x14ac:dyDescent="0.25">
      <c r="A2" s="3" t="s">
        <v>0</v>
      </c>
      <c r="B2" s="3" t="s">
        <v>1</v>
      </c>
      <c r="C2" s="3" t="s">
        <v>9</v>
      </c>
      <c r="D2" s="3" t="s">
        <v>14</v>
      </c>
    </row>
    <row r="3" spans="1:4" ht="34" customHeight="1" x14ac:dyDescent="0.25">
      <c r="A3" s="4">
        <v>1</v>
      </c>
      <c r="B3" s="6" t="str">
        <f>IF(评审表_现场!B4="","",评审表_现场!B4)</f>
        <v/>
      </c>
      <c r="C3" s="5" t="str">
        <f>评审表_现场!J4</f>
        <v/>
      </c>
      <c r="D3" s="4" t="str">
        <f t="shared" ref="D3:D14" si="0">IF(N(C3)=0,"",_xlfn.RANK.EQ(C3,$C$3:$C$14,0))</f>
        <v/>
      </c>
    </row>
    <row r="4" spans="1:4" ht="34" customHeight="1" x14ac:dyDescent="0.25">
      <c r="A4" s="4">
        <v>2</v>
      </c>
      <c r="B4" s="6" t="str">
        <f>IF(评审表_现场!B5="","",评审表_现场!B5)</f>
        <v/>
      </c>
      <c r="C4" s="5" t="str">
        <f>评审表_现场!J5</f>
        <v/>
      </c>
      <c r="D4" s="4" t="str">
        <f t="shared" si="0"/>
        <v/>
      </c>
    </row>
    <row r="5" spans="1:4" ht="34" customHeight="1" x14ac:dyDescent="0.25">
      <c r="A5" s="4">
        <v>3</v>
      </c>
      <c r="B5" s="6" t="str">
        <f>IF(评审表_现场!B6="","",评审表_现场!B6)</f>
        <v/>
      </c>
      <c r="C5" s="5" t="str">
        <f>评审表_现场!J6</f>
        <v/>
      </c>
      <c r="D5" s="4" t="str">
        <f t="shared" si="0"/>
        <v/>
      </c>
    </row>
    <row r="6" spans="1:4" ht="34" customHeight="1" x14ac:dyDescent="0.25">
      <c r="A6" s="4">
        <v>4</v>
      </c>
      <c r="B6" s="6" t="str">
        <f>IF(评审表_现场!B7="","",评审表_现场!B7)</f>
        <v/>
      </c>
      <c r="C6" s="5" t="str">
        <f>评审表_现场!J7</f>
        <v/>
      </c>
      <c r="D6" s="4" t="str">
        <f t="shared" si="0"/>
        <v/>
      </c>
    </row>
    <row r="7" spans="1:4" ht="34" customHeight="1" x14ac:dyDescent="0.25">
      <c r="A7" s="4">
        <v>5</v>
      </c>
      <c r="B7" s="6" t="str">
        <f>IF(评审表_现场!B8="","",评审表_现场!B8)</f>
        <v/>
      </c>
      <c r="C7" s="5" t="str">
        <f>评审表_现场!J8</f>
        <v/>
      </c>
      <c r="D7" s="4" t="str">
        <f t="shared" si="0"/>
        <v/>
      </c>
    </row>
    <row r="8" spans="1:4" ht="34" customHeight="1" x14ac:dyDescent="0.25">
      <c r="A8" s="4">
        <v>6</v>
      </c>
      <c r="B8" s="6" t="str">
        <f>IF(评审表_现场!B9="","",评审表_现场!B9)</f>
        <v/>
      </c>
      <c r="C8" s="5" t="str">
        <f>评审表_现场!J9</f>
        <v/>
      </c>
      <c r="D8" s="4" t="str">
        <f t="shared" si="0"/>
        <v/>
      </c>
    </row>
    <row r="9" spans="1:4" ht="34" customHeight="1" x14ac:dyDescent="0.25">
      <c r="A9" s="4">
        <v>7</v>
      </c>
      <c r="B9" s="6" t="str">
        <f>IF(评审表_现场!B10="","",评审表_现场!B10)</f>
        <v/>
      </c>
      <c r="C9" s="5" t="str">
        <f>评审表_现场!J10</f>
        <v/>
      </c>
      <c r="D9" s="4" t="str">
        <f t="shared" si="0"/>
        <v/>
      </c>
    </row>
    <row r="10" spans="1:4" ht="34" customHeight="1" x14ac:dyDescent="0.25">
      <c r="A10" s="4">
        <v>8</v>
      </c>
      <c r="B10" s="6" t="str">
        <f>IF(评审表_现场!B11="","",评审表_现场!B11)</f>
        <v/>
      </c>
      <c r="C10" s="5" t="str">
        <f>评审表_现场!J11</f>
        <v/>
      </c>
      <c r="D10" s="4" t="str">
        <f t="shared" si="0"/>
        <v/>
      </c>
    </row>
    <row r="11" spans="1:4" ht="34" customHeight="1" x14ac:dyDescent="0.25">
      <c r="A11" s="4">
        <v>9</v>
      </c>
      <c r="B11" s="6" t="str">
        <f>IF(评审表_现场!B12="","",评审表_现场!B12)</f>
        <v/>
      </c>
      <c r="C11" s="5" t="str">
        <f>评审表_现场!J12</f>
        <v/>
      </c>
      <c r="D11" s="4" t="str">
        <f t="shared" si="0"/>
        <v/>
      </c>
    </row>
    <row r="12" spans="1:4" ht="34" customHeight="1" x14ac:dyDescent="0.25">
      <c r="A12" s="4">
        <v>10</v>
      </c>
      <c r="B12" s="6" t="str">
        <f>IF(评审表_现场!B13="","",评审表_现场!B13)</f>
        <v/>
      </c>
      <c r="C12" s="5" t="str">
        <f>评审表_现场!J13</f>
        <v/>
      </c>
      <c r="D12" s="4" t="str">
        <f t="shared" si="0"/>
        <v/>
      </c>
    </row>
    <row r="13" spans="1:4" ht="34" customHeight="1" x14ac:dyDescent="0.25">
      <c r="A13" s="4">
        <v>11</v>
      </c>
      <c r="B13" s="6" t="str">
        <f>IF(评审表_现场!B14="","",评审表_现场!B14)</f>
        <v/>
      </c>
      <c r="C13" s="5" t="str">
        <f>评审表_现场!J14</f>
        <v/>
      </c>
      <c r="D13" s="4" t="str">
        <f t="shared" si="0"/>
        <v/>
      </c>
    </row>
    <row r="14" spans="1:4" ht="34" customHeight="1" x14ac:dyDescent="0.25">
      <c r="A14" s="4">
        <v>12</v>
      </c>
      <c r="B14" s="6" t="str">
        <f>IF(评审表_现场!B15="","",评审表_现场!B15)</f>
        <v/>
      </c>
      <c r="C14" s="5" t="str">
        <f>评审表_现场!J15</f>
        <v/>
      </c>
      <c r="D14" s="4" t="str">
        <f t="shared" si="0"/>
        <v/>
      </c>
    </row>
  </sheetData>
  <mergeCells count="1">
    <mergeCell ref="A1:D1"/>
  </mergeCells>
  <phoneticPr fontId="5" type="noConversion"/>
  <pageMargins left="0.4" right="0.4" top="0.5" bottom="0.5" header="0.25" footer="0.25"/>
  <pageSetup paperSize="9" orientation="landscape"/>
  <headerFooter>
    <oddFooter>&amp;C&amp;9 &amp;K808080第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评审表_现场</vt:lpstr>
      <vt:lpstr>汇总与排名</vt:lpstr>
      <vt:lpstr>汇总与排名!Print_Titles</vt:lpstr>
      <vt:lpstr>评审表_现场!Print_Titles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Mayday</cp:lastModifiedBy>
  <dcterms:created xsi:type="dcterms:W3CDTF">2026-10-19T07:20:51Z</dcterms:created>
  <dcterms:modified xsi:type="dcterms:W3CDTF">2026-10-20T13:11:22Z</dcterms:modified>
</cp:coreProperties>
</file>